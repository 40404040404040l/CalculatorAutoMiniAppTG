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<sst xmlns="http://schemas.openxmlformats.org/spreadsheetml/2006/main" count="12" uniqueCount="12">
  <si>
    <t>Цена с вычетом НДС</t>
  </si>
  <si>
    <t>Объем(см3)</t>
  </si>
  <si>
    <t>Год Выпуска Авто</t>
  </si>
  <si>
    <t>Лошадиные силы</t>
  </si>
  <si>
    <t>Таможенная пошлина</t>
  </si>
  <si>
    <t>Утильсбор</t>
  </si>
  <si>
    <t>Брокеры + стоянка + прочие расходы на таможню + Лабаратория(ЭПТС)</t>
  </si>
  <si>
    <t>Перевод Денег + Оплата с фирмы</t>
  </si>
  <si>
    <t>Доставка до Питера/Мск</t>
  </si>
  <si>
    <t>Цена под ключ</t>
  </si>
  <si>
    <t>В рублях</t>
  </si>
  <si>
    <t>Актуальный курс: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</si>
</sst>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]#,##0"/>
    <numFmt numFmtId="165" formatCode="[$₽]#,##0"/>
    <numFmt numFmtId="166" formatCode="#,##0[$₽]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5" fontId="2" numFmtId="164" xfId="0" applyAlignment="1" applyBorder="1" applyFill="1" applyFont="1" applyNumberFormat="1">
      <alignment horizontal="center" readingOrder="0" shrinkToFit="0" vertical="center" wrapText="1"/>
    </xf>
    <xf borderId="1" fillId="5" fontId="2" numFmtId="1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6" fontId="2" numFmtId="164" xfId="0" applyAlignment="1" applyBorder="1" applyFill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3.63"/>
    <col customWidth="1" min="3" max="3" width="17.5"/>
    <col customWidth="1" min="4" max="4" width="18.0"/>
    <col customWidth="1" min="5" max="5" width="20.75"/>
    <col customWidth="1" min="6" max="6" width="15.0"/>
    <col customWidth="1" min="7" max="9" width="26.38"/>
    <col customWidth="1" min="10" max="10" width="25.25"/>
    <col customWidth="1" min="11" max="11" width="25.75"/>
    <col customWidth="1" min="12" max="12" width="13.0"/>
  </cols>
  <sheetData>
    <row r="1" ht="84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/>
      <c r="M1" s="5"/>
    </row>
    <row r="2" ht="63.75" customHeight="1">
      <c r="A2" s="6">
        <v>120000.0</v>
      </c>
      <c r="B2" s="7">
        <v>2999.0</v>
      </c>
      <c r="C2" s="7">
        <v>2026.0</v>
      </c>
      <c r="D2" s="7">
        <v>387.0</v>
      </c>
      <c r="E2" s="8">
        <f>(IF((YEAR(TODAY())-C2)&gt;5,
B2*IF(B2&lt;=1000,3,IF(B2&lt;=1500,3.2,IF(B2&lt;=1800,3.5,IF(B2&lt;=2300,4.8,IF(B2&lt;=3000,5,5.7))))),
IF((YEAR(TODAY())-C2)&gt;=3,
B2*IF(B2&lt;=1000,1.5,IF(B2&lt;=1500,1.7,IF(B2&lt;=1800,2.5,IF(B2&lt;=2300,2.7,IF(B2&lt;=3000,3,3.6))))),
MAX(
A2*IF(A2&lt;=8500,0.54,0.48),
B2*IF(A2&lt;=8500,2.5,IF(A2&lt;=16700,3.5,IF(A2&lt;=42300,5.5,IF(A2&lt;=84500,7.5,IF(A2&lt;=169000,15,20)))))
)
)))*0.5</f>
        <v>28800</v>
      </c>
      <c r="F2" s="9">
        <f t="array" ref="F2">IF(OR(B2="",C2="",D2=""),"",INDEX(IF(YEAR(TODAY())-C2&lt;3,{3400,3400,3400,2584000,3290600;307200,900000,2306800,2635200,3345600;316800,952800,2364000,2688000,3403200;324000,1010400,2402400,2743200,3460800;345600,1142400,2520000,2810400,3530400;345600,1291200,2620800,2880000,3600000;345600,1459200,2726400,3038400,3727200;345600,1663200,2834400,3206400,3857600;345600,1896000,2949600,3384000,3993600;345600,2160000,3067200,3568800,4132800;345600,2464800,3189600,3765600,4276800;345600,2808000,3316800,3972000,4425600;345600,3201600,3448800,4190400,4581600},{5200,5200,5200,3956200,4325800;568800,1492800,3456000,4000800,4389600;585600,1584000,3501600,4044000,4456800;602400,1677600,3552000,4087200,4524000;602400,1838400,3660000,4144800,4627200;602400,2011200,3770400,4248000,4732800;602400,2203200,3873600,4356000,4992000;602400,2412000,3981600,4485600,5268000;602400,2640000,4094400,4620000,5558400;602400,2892000,4209600,4759200,5863200;602400,3168000,4327200,4900800,6187200;602400,3468000,4447200,5049600,6528000;602400,3796800,4572000,5200800,6885600}),MATCH(D2,{0;160.000001;190.000001;220.000001;250.000001;280.000001;310.000001;340.000001;370.000001;400.000001;430.000001;460.000001;500.000001},1),MATCH(B2,{0,1000.000001,2000.000001,3000.000001,3500.000001},1)))</f>
        <v>2949600</v>
      </c>
      <c r="G2" s="8">
        <v>1500.0</v>
      </c>
      <c r="H2" s="8"/>
      <c r="I2" s="8">
        <v>5000.0</v>
      </c>
      <c r="J2" s="10">
        <f>A2+E2+G2+H2+I2+(F2/B5)</f>
        <v>186846.5241</v>
      </c>
      <c r="K2" s="11">
        <f>(A2+E2+G2+H2+I2)*B5+F2</f>
        <v>17470150</v>
      </c>
      <c r="L2" s="5"/>
      <c r="M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45.75" customHeight="1">
      <c r="A5" s="12" t="s">
        <v>11</v>
      </c>
      <c r="B5" s="13">
        <f>IFERROR(__xludf.DUMMYFUNCTION("VALUE(SUBSTITUTE(INDEX(IMPORTHTML(""https://ligovka.ru/pda/"",""table"",2),3,3),""."","",""))"),93.5)</f>
        <v>93.5</v>
      </c>
      <c r="C5" s="5"/>
      <c r="D5" s="5"/>
      <c r="E5" s="5"/>
      <c r="F5" s="5"/>
      <c r="G5" s="5"/>
      <c r="H5" s="5"/>
      <c r="I5" s="5"/>
      <c r="K5" s="5"/>
      <c r="L5" s="5"/>
      <c r="M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5"/>
      <c r="F30" s="5"/>
      <c r="G30" s="5"/>
      <c r="H30" s="5"/>
      <c r="I30" s="5"/>
    </row>
    <row r="31">
      <c r="A31" s="5"/>
      <c r="B31" s="5"/>
      <c r="C31" s="5"/>
      <c r="D31" s="5"/>
      <c r="E31" s="5"/>
      <c r="F31" s="5"/>
      <c r="G31" s="5"/>
      <c r="H31" s="5"/>
      <c r="I31" s="5"/>
    </row>
    <row r="32">
      <c r="A32" s="5"/>
      <c r="B32" s="5"/>
      <c r="C32" s="5"/>
      <c r="D32" s="5"/>
      <c r="E32" s="5"/>
      <c r="F32" s="5"/>
      <c r="G32" s="5"/>
      <c r="H32" s="5"/>
      <c r="I32" s="5"/>
    </row>
    <row r="33">
      <c r="A33" s="5"/>
      <c r="B33" s="5"/>
      <c r="C33" s="5"/>
      <c r="D33" s="5"/>
      <c r="E33" s="5"/>
      <c r="F33" s="5"/>
      <c r="G33" s="5"/>
      <c r="H33" s="5"/>
      <c r="I33" s="5"/>
    </row>
    <row r="34">
      <c r="A34" s="5"/>
      <c r="B34" s="5"/>
      <c r="C34" s="5"/>
      <c r="D34" s="5"/>
      <c r="E34" s="5"/>
      <c r="F34" s="5"/>
      <c r="G34" s="5"/>
      <c r="H34" s="5"/>
      <c r="I34" s="5"/>
    </row>
  </sheetData>
  <drawing r:id="rId1"/>
</worksheet>
</file>